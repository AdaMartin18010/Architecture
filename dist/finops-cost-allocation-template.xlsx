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L1-原始成本" sheetId="2" state="visible" r:id="rId2"/>
    <sheet name="L2-分摊规则" sheetId="3" state="visible" r:id="rId3"/>
    <sheet name="L3-分摊结果" sheetId="4" state="visible" r:id="rId4"/>
    <sheet name="L4-单位经济学" sheetId="5" state="visible" r:id="rId5"/>
    <sheet name="L5-预算预测" sheetId="6" state="visible" r:id="rId6"/>
    <sheet name="L6-承诺折扣优化" sheetId="7" state="visible" r:id="rId7"/>
    <sheet name="L7-异常检测" sheetId="8" state="visible" r:id="rId8"/>
    <sheet name="L8-AI GPU 分摊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0" fillId="0" borderId="0" pivotButton="0" quotePrefix="0" xfId="0"/>
    <xf numFmtId="10" fontId="0" fillId="0" borderId="0" pivotButton="0" quotePrefix="0" xfId="0"/>
    <xf numFmtId="10" fontId="2" fillId="0" borderId="0" pivotButton="0" quotePrefix="0" xfId="0"/>
    <xf numFmtId="4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90" customWidth="1" min="2" max="2"/>
  </cols>
  <sheetData>
    <row r="1">
      <c r="A1" s="1" t="inlineStr">
        <is>
          <t>FinOps L1–L8 成本分摊 Excel 公式模板</t>
        </is>
      </c>
      <c r="B1" t="inlineStr"/>
    </row>
    <row r="2">
      <c r="A2" t="inlineStr"/>
      <c r="B2" t="inlineStr"/>
    </row>
    <row r="3">
      <c r="A3" s="2" t="inlineStr">
        <is>
          <t>工作表</t>
        </is>
      </c>
      <c r="B3" s="2" t="inlineStr">
        <is>
          <t>说明</t>
        </is>
      </c>
    </row>
    <row r="4">
      <c r="A4" t="inlineStr">
        <is>
          <t>L1-原始成本</t>
        </is>
      </c>
      <c r="B4" t="inlineStr">
        <is>
          <t>填写或粘贴云服务原始账单；Tag:Team 用于直接归属。</t>
        </is>
      </c>
    </row>
    <row r="5">
      <c r="A5" t="inlineStr">
        <is>
          <t>L2-分摊规则</t>
        </is>
      </c>
      <c r="B5" t="inlineStr">
        <is>
          <t>维护 Team 的分摊键，合计应等于 100%。</t>
        </is>
      </c>
    </row>
    <row r="6">
      <c r="A6" t="inlineStr">
        <is>
          <t>L3-分摊结果</t>
        </is>
      </c>
      <c r="B6" t="inlineStr">
        <is>
          <t>自动按 SUMIFS 汇总直接成本，并按 L2 比例拆分共享成本。</t>
        </is>
      </c>
    </row>
    <row r="7">
      <c r="A7" t="inlineStr">
        <is>
          <t>L4-单位经济学</t>
        </is>
      </c>
      <c r="B7" t="inlineStr">
        <is>
          <t>基于 L3 的 TotalCloudCOGS 或独立成本池计算单位成本。</t>
        </is>
      </c>
    </row>
    <row r="8">
      <c r="A8" t="inlineStr">
        <is>
          <t>L5-预算预测</t>
        </is>
      </c>
      <c r="B8" t="inlineStr">
        <is>
          <t>12 个月 ActualCost 与 Budget，含 MoM Growth%、FORECAST.LINEAR、3 个月移动平均及年度执行率。</t>
        </is>
      </c>
    </row>
    <row r="9">
      <c r="A9" t="inlineStr">
        <is>
          <t>L6-承诺折扣优化</t>
        </is>
      </c>
      <c r="B9" t="inlineStr">
        <is>
          <t>对比 OnDemand / RI / SP / Spot 年度成本，自动推荐最低方案并计算 Savings。</t>
        </is>
      </c>
    </row>
    <row r="10">
      <c r="A10" t="inlineStr">
        <is>
          <t>L7-异常检测</t>
        </is>
      </c>
      <c r="B10" t="inlineStr">
        <is>
          <t>基于 AVERAGE、STDEV.S 与 Z-Score（阈值 2）自动标记异常成本记录。</t>
        </is>
      </c>
    </row>
    <row r="11">
      <c r="A11" t="inlineStr">
        <is>
          <t>L8-AI GPU 分摊</t>
        </is>
      </c>
      <c r="B11" t="inlineStr">
        <is>
          <t>按 Team/Project/Model 汇总 GPU Hours、Token 与成本，并计算 Allocated Cost 占比。</t>
        </is>
      </c>
    </row>
    <row r="12">
      <c r="A12" t="inlineStr"/>
      <c r="B12" t="inlineStr"/>
    </row>
    <row r="13">
      <c r="A13" t="inlineStr">
        <is>
          <t>使用提示</t>
        </is>
      </c>
      <c r="B13" t="inlineStr"/>
    </row>
    <row r="14">
      <c r="A14" t="inlineStr">
        <is>
          <t>1</t>
        </is>
      </c>
      <c r="B14" t="inlineStr">
        <is>
          <t>将 L1 替换为贵组织的真实云账单（保持列结构一致）。</t>
        </is>
      </c>
    </row>
    <row r="15">
      <c r="A15" t="inlineStr">
        <is>
          <t>2</t>
        </is>
      </c>
      <c r="B15" t="inlineStr">
        <is>
          <t>在 L2 中调整 AllocationKey%，确保团队比例符合 FinOps 分摊策略。</t>
        </is>
      </c>
    </row>
    <row r="16">
      <c r="A16" t="inlineStr">
        <is>
          <t>3</t>
        </is>
      </c>
      <c r="B16" t="inlineStr">
        <is>
          <t>L3 中的公式会自动重新计算；如需更复杂的共享池逻辑，可拆分 Platform/Data 等共享项。</t>
        </is>
      </c>
    </row>
    <row r="17">
      <c r="A17" t="inlineStr">
        <is>
          <t>4</t>
        </is>
      </c>
      <c r="B17" t="inlineStr">
        <is>
          <t>L4 中的单位经济学公式可按业务指标（MAU、交易数、Token 数）自行扩展。</t>
        </is>
      </c>
    </row>
    <row r="18">
      <c r="A18" t="inlineStr">
        <is>
          <t>5</t>
        </is>
      </c>
      <c r="B18" t="inlineStr">
        <is>
          <t>L5–L8 中的公式示例可直接替换为真实数据，预测与异常阈值可按业务需求调整。</t>
        </is>
      </c>
    </row>
    <row r="19">
      <c r="A19" t="inlineStr"/>
      <c r="B19" t="inlineStr"/>
    </row>
    <row r="20">
      <c r="A20" t="inlineStr">
        <is>
          <t>对齐来源</t>
        </is>
      </c>
      <c r="B20" t="inlineStr"/>
    </row>
    <row r="21">
      <c r="A21" t="inlineStr">
        <is>
          <t>FinOps Foundation Framework 2026</t>
        </is>
      </c>
      <c r="B21" t="inlineStr"/>
    </row>
    <row r="22">
      <c r="A22" t="inlineStr">
        <is>
          <t>FOCUS (FinOps Open Cost and Usage Specification)</t>
        </is>
      </c>
      <c r="B2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0" customWidth="1" min="4" max="4"/>
    <col width="9" customWidth="1" min="5" max="5"/>
    <col width="16" customWidth="1" min="6" max="6"/>
  </cols>
  <sheetData>
    <row r="1">
      <c r="A1" s="3" t="inlineStr">
        <is>
          <t>ResourceID</t>
        </is>
      </c>
      <c r="B1" s="3" t="inlineStr">
        <is>
          <t>ServiceName</t>
        </is>
      </c>
      <c r="C1" s="3" t="inlineStr">
        <is>
          <t>Cost</t>
        </is>
      </c>
      <c r="D1" s="3" t="inlineStr">
        <is>
          <t>Tag:Team</t>
        </is>
      </c>
      <c r="E1" s="3" t="inlineStr">
        <is>
          <t>Tag:Env</t>
        </is>
      </c>
      <c r="F1" s="3" t="inlineStr">
        <is>
          <t>Tag:Project</t>
        </is>
      </c>
    </row>
    <row r="2">
      <c r="A2" t="inlineStr">
        <is>
          <t>i-0a1b2c3d4e5f</t>
        </is>
      </c>
      <c r="B2" t="inlineStr">
        <is>
          <t>EC2</t>
        </is>
      </c>
      <c r="C2" s="4" t="n">
        <v>5000</v>
      </c>
      <c r="D2" t="inlineStr">
        <is>
          <t>Platform</t>
        </is>
      </c>
      <c r="E2" t="inlineStr">
        <is>
          <t>prod</t>
        </is>
      </c>
      <c r="F2" t="inlineStr">
        <is>
          <t>SharedPlatform</t>
        </is>
      </c>
    </row>
    <row r="3">
      <c r="A3" t="inlineStr">
        <is>
          <t>rds-appa-001</t>
        </is>
      </c>
      <c r="B3" t="inlineStr">
        <is>
          <t>RDS</t>
        </is>
      </c>
      <c r="C3" s="4" t="n">
        <v>2400</v>
      </c>
      <c r="D3" t="inlineStr">
        <is>
          <t>AppA</t>
        </is>
      </c>
      <c r="E3" t="inlineStr">
        <is>
          <t>prod</t>
        </is>
      </c>
      <c r="F3" t="inlineStr">
        <is>
          <t>AppA-DB</t>
        </is>
      </c>
    </row>
    <row r="4">
      <c r="A4" t="inlineStr">
        <is>
          <t>rds-appb-001</t>
        </is>
      </c>
      <c r="B4" t="inlineStr">
        <is>
          <t>RDS</t>
        </is>
      </c>
      <c r="C4" s="4" t="n">
        <v>1800</v>
      </c>
      <c r="D4" t="inlineStr">
        <is>
          <t>AppB</t>
        </is>
      </c>
      <c r="E4" t="inlineStr">
        <is>
          <t>prod</t>
        </is>
      </c>
      <c r="F4" t="inlineStr">
        <is>
          <t>AppB-DB</t>
        </is>
      </c>
    </row>
    <row r="5">
      <c r="A5" t="inlineStr">
        <is>
          <t>eks-control</t>
        </is>
      </c>
      <c r="B5" t="inlineStr">
        <is>
          <t>EKS</t>
        </is>
      </c>
      <c r="C5" s="4" t="n">
        <v>800</v>
      </c>
      <c r="D5" t="inlineStr">
        <is>
          <t>Platform</t>
        </is>
      </c>
      <c r="E5" t="inlineStr">
        <is>
          <t>prod</t>
        </is>
      </c>
      <c r="F5" t="inlineStr">
        <is>
          <t>SharedPlatform</t>
        </is>
      </c>
    </row>
    <row r="6">
      <c r="A6" t="inlineStr">
        <is>
          <t>openai-inference</t>
        </is>
      </c>
      <c r="B6" t="inlineStr">
        <is>
          <t>AzureOpenAI</t>
        </is>
      </c>
      <c r="C6" s="4" t="n">
        <v>2400</v>
      </c>
      <c r="D6" t="inlineStr">
        <is>
          <t>AppA</t>
        </is>
      </c>
      <c r="E6" t="inlineStr">
        <is>
          <t>prod</t>
        </is>
      </c>
      <c r="F6" t="inlineStr">
        <is>
          <t>AppA-AI</t>
        </is>
      </c>
    </row>
    <row r="7">
      <c r="A7" t="inlineStr">
        <is>
          <t>s3-data-lake</t>
        </is>
      </c>
      <c r="B7" t="inlineStr">
        <is>
          <t>S3</t>
        </is>
      </c>
      <c r="C7" s="4" t="n">
        <v>600</v>
      </c>
      <c r="D7" t="inlineStr">
        <is>
          <t>Data</t>
        </is>
      </c>
      <c r="E7" t="inlineStr">
        <is>
          <t>prod</t>
        </is>
      </c>
      <c r="F7" t="inlineStr">
        <is>
          <t>DataLake</t>
        </is>
      </c>
    </row>
    <row r="8">
      <c r="A8" t="inlineStr">
        <is>
          <t>datadog-sub</t>
        </is>
      </c>
      <c r="B8" t="inlineStr">
        <is>
          <t>SaaS</t>
        </is>
      </c>
      <c r="C8" s="4" t="n">
        <v>1200</v>
      </c>
      <c r="D8" t="inlineStr">
        <is>
          <t>Platform</t>
        </is>
      </c>
      <c r="E8" t="inlineStr">
        <is>
          <t>prod</t>
        </is>
      </c>
      <c r="F8" t="inlineStr">
        <is>
          <t>Observability</t>
        </is>
      </c>
    </row>
    <row r="9">
      <c r="A9" t="inlineStr">
        <is>
          <t>lambda-appb</t>
        </is>
      </c>
      <c r="B9" t="inlineStr">
        <is>
          <t>Lambda</t>
        </is>
      </c>
      <c r="C9" s="4" t="n">
        <v>400</v>
      </c>
      <c r="D9" t="inlineStr">
        <is>
          <t>AppB</t>
        </is>
      </c>
      <c r="E9" t="inlineStr">
        <is>
          <t>prod</t>
        </is>
      </c>
      <c r="F9" t="inlineStr">
        <is>
          <t>AppB-API</t>
        </is>
      </c>
    </row>
    <row r="10">
      <c r="A10" t="inlineStr">
        <is>
          <t>cloudfront-cdn</t>
        </is>
      </c>
      <c r="B10" t="inlineStr">
        <is>
          <t>CloudFront</t>
        </is>
      </c>
      <c r="C10" s="4" t="n">
        <v>900</v>
      </c>
      <c r="D10" t="inlineStr">
        <is>
          <t>AppA</t>
        </is>
      </c>
      <c r="E10" t="inlineStr">
        <is>
          <t>prod</t>
        </is>
      </c>
      <c r="F10" t="inlineStr">
        <is>
          <t>AppA-Frontend</t>
        </is>
      </c>
    </row>
    <row r="11">
      <c r="A11" t="inlineStr">
        <is>
          <t>vpc-flow-logs</t>
        </is>
      </c>
      <c r="B11" t="inlineStr">
        <is>
          <t>VPC</t>
        </is>
      </c>
      <c r="C11" s="4" t="n">
        <v>300</v>
      </c>
      <c r="D11" t="inlineStr">
        <is>
          <t>Platform</t>
        </is>
      </c>
      <c r="E11" t="inlineStr">
        <is>
          <t>prod</t>
        </is>
      </c>
      <c r="F11" t="inlineStr">
        <is>
          <t>SharedPlatform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1" customWidth="1" min="3" max="3"/>
  </cols>
  <sheetData>
    <row r="1">
      <c r="A1" s="3" t="inlineStr">
        <is>
          <t>Team</t>
        </is>
      </c>
      <c r="B1" s="3" t="inlineStr">
        <is>
          <t>AllocationKey%</t>
        </is>
      </c>
      <c r="C1" s="3" t="inlineStr">
        <is>
          <t>RuleDescription</t>
        </is>
      </c>
    </row>
    <row r="2">
      <c r="A2" t="inlineStr">
        <is>
          <t>AppA</t>
        </is>
      </c>
      <c r="B2" s="5" t="n">
        <v>0.35</v>
      </c>
      <c r="C2" t="inlineStr">
        <is>
          <t>按活跃应用数与收入贡献分摊共享平台成本</t>
        </is>
      </c>
    </row>
    <row r="3">
      <c r="A3" t="inlineStr">
        <is>
          <t>AppB</t>
        </is>
      </c>
      <c r="B3" s="5" t="n">
        <v>0.25</v>
      </c>
      <c r="C3" t="inlineStr">
        <is>
          <t>按活跃应用数分摊共享平台成本</t>
        </is>
      </c>
    </row>
    <row r="4">
      <c r="A4" t="inlineStr">
        <is>
          <t>Platform</t>
        </is>
      </c>
      <c r="B4" s="5" t="n">
        <v>0.25</v>
      </c>
      <c r="C4" t="inlineStr">
        <is>
          <t>平台团队承担基础设施与可观测性共享成本</t>
        </is>
      </c>
    </row>
    <row r="5">
      <c r="A5" t="inlineStr">
        <is>
          <t>Data</t>
        </is>
      </c>
      <c r="B5" s="5" t="n">
        <v>0.15</v>
      </c>
      <c r="C5" t="inlineStr">
        <is>
          <t>数据团队承担数据湖与存储共享成本</t>
        </is>
      </c>
    </row>
    <row r="6">
      <c r="A6" s="2" t="inlineStr">
        <is>
          <t>合计</t>
        </is>
      </c>
      <c r="B6" s="6">
        <f>SUM(B2:B5)</f>
        <v/>
      </c>
      <c r="C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  <col width="15" customWidth="1" min="4" max="4"/>
    <col width="50" customWidth="1" min="5" max="5"/>
    <col width="50" customWidth="1" min="6" max="6"/>
  </cols>
  <sheetData>
    <row r="1">
      <c r="A1" s="3" t="inlineStr">
        <is>
          <t>Team</t>
        </is>
      </c>
      <c r="B1" s="3" t="inlineStr">
        <is>
          <t>DirectCost</t>
        </is>
      </c>
      <c r="C1" s="3" t="inlineStr">
        <is>
          <t>SharedCost</t>
        </is>
      </c>
      <c r="D1" s="3" t="inlineStr">
        <is>
          <t>AllocatedCost</t>
        </is>
      </c>
      <c r="E1" s="3" t="inlineStr">
        <is>
          <t>AllocationKey%</t>
        </is>
      </c>
      <c r="F1" s="3" t="inlineStr">
        <is>
          <t>RuleDescription</t>
        </is>
      </c>
    </row>
    <row r="2">
      <c r="A2" t="inlineStr">
        <is>
          <t>AppA</t>
        </is>
      </c>
      <c r="B2" s="4">
        <f>SUMIFS('L1-原始成本'!$C$2:$C$11,'L1-原始成本'!$D$2:$D$11,B2)</f>
        <v/>
      </c>
      <c r="C2" s="4">
        <f>SUMIFS('L1-原始成本'!$C$2:$C$11,'L1-原始成本'!$D$2:$D$11,"Platform")*E2</f>
        <v/>
      </c>
      <c r="D2" s="4">
        <f>B2+C2</f>
        <v/>
      </c>
      <c r="E2" s="5">
        <f>IFERROR(VLOOKUP(B2,'L2-分摊规则'!$A$2:$C$5,2,FALSE),0)</f>
        <v/>
      </c>
      <c r="F2">
        <f>IFERROR(VLOOKUP(B2,'L2-分摊规则'!$A$2:$C$5,3,FALSE),"")</f>
        <v/>
      </c>
    </row>
    <row r="3">
      <c r="A3" t="inlineStr">
        <is>
          <t>AppB</t>
        </is>
      </c>
      <c r="B3" s="4">
        <f>SUMIFS('L1-原始成本'!$C$2:$C$11,'L1-原始成本'!$D$2:$D$11,B3)</f>
        <v/>
      </c>
      <c r="C3" s="4">
        <f>SUMIFS('L1-原始成本'!$C$2:$C$11,'L1-原始成本'!$D$2:$D$11,"Platform")*E3</f>
        <v/>
      </c>
      <c r="D3" s="4">
        <f>B3+C3</f>
        <v/>
      </c>
      <c r="E3" s="5">
        <f>IFERROR(VLOOKUP(B3,'L2-分摊规则'!$A$2:$C$5,2,FALSE),0)</f>
        <v/>
      </c>
      <c r="F3">
        <f>IFERROR(VLOOKUP(B3,'L2-分摊规则'!$A$2:$C$5,3,FALSE),"")</f>
        <v/>
      </c>
    </row>
    <row r="4">
      <c r="A4" t="inlineStr">
        <is>
          <t>Platform</t>
        </is>
      </c>
      <c r="B4" s="4">
        <f>SUMIFS('L1-原始成本'!$C$2:$C$11,'L1-原始成本'!$D$2:$D$11,B4)</f>
        <v/>
      </c>
      <c r="C4" s="4">
        <f>SUMIFS('L1-原始成本'!$C$2:$C$11,'L1-原始成本'!$D$2:$D$11,"Platform")*E4</f>
        <v/>
      </c>
      <c r="D4" s="4">
        <f>B4+C4</f>
        <v/>
      </c>
      <c r="E4" s="5">
        <f>IFERROR(VLOOKUP(B4,'L2-分摊规则'!$A$2:$C$5,2,FALSE),0)</f>
        <v/>
      </c>
      <c r="F4">
        <f>IFERROR(VLOOKUP(B4,'L2-分摊规则'!$A$2:$C$5,3,FALSE),"")</f>
        <v/>
      </c>
    </row>
    <row r="5">
      <c r="A5" t="inlineStr">
        <is>
          <t>Data</t>
        </is>
      </c>
      <c r="B5" s="4">
        <f>SUMIFS('L1-原始成本'!$C$2:$C$11,'L1-原始成本'!$D$2:$D$11,B5)</f>
        <v/>
      </c>
      <c r="C5" s="4">
        <f>SUMIFS('L1-原始成本'!$C$2:$C$11,'L1-原始成本'!$D$2:$D$11,"Platform")*E5</f>
        <v/>
      </c>
      <c r="D5" s="4">
        <f>B5+C5</f>
        <v/>
      </c>
      <c r="E5" s="5">
        <f>IFERROR(VLOOKUP(B5,'L2-分摊规则'!$A$2:$C$5,2,FALSE),0)</f>
        <v/>
      </c>
      <c r="F5">
        <f>IFERROR(VLOOKUP(B5,'L2-分摊规则'!$A$2:$C$5,3,FALSE),"")</f>
        <v/>
      </c>
    </row>
    <row r="6">
      <c r="A6" s="2" t="inlineStr">
        <is>
          <t>合计</t>
        </is>
      </c>
      <c r="B6" s="7">
        <f>SUM(B2:B5)</f>
        <v/>
      </c>
      <c r="C6" s="7">
        <f>SUM(C2:C5)</f>
        <v/>
      </c>
      <c r="D6" s="7">
        <f>SUM(D2:D5)</f>
        <v/>
      </c>
      <c r="E6" s="6">
        <f>SUM(E2:E5)</f>
        <v/>
      </c>
      <c r="F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2" customWidth="1" min="3" max="3"/>
    <col width="13" customWidth="1" min="4" max="4"/>
    <col width="42" customWidth="1" min="5" max="5"/>
  </cols>
  <sheetData>
    <row r="1">
      <c r="A1" s="3" t="inlineStr">
        <is>
          <t>Metric</t>
        </is>
      </c>
      <c r="B1" s="3" t="inlineStr">
        <is>
          <t>TotalCost</t>
        </is>
      </c>
      <c r="C1" s="3" t="inlineStr">
        <is>
          <t>UnitVolume</t>
        </is>
      </c>
      <c r="D1" s="3" t="inlineStr">
        <is>
          <t>CostPerUnit</t>
        </is>
      </c>
      <c r="E1" s="3" t="inlineStr">
        <is>
          <t>Notes</t>
        </is>
      </c>
    </row>
    <row r="2">
      <c r="A2" t="inlineStr">
        <is>
          <t>CostPerUser</t>
        </is>
      </c>
      <c r="B2" s="4" t="n">
        <v>12000</v>
      </c>
      <c r="C2" s="8" t="n">
        <v>571429</v>
      </c>
      <c r="D2" s="9">
        <f>B2/C2</f>
        <v/>
      </c>
      <c r="E2" t="inlineStr">
        <is>
          <t>Total Cloud COGS / MAU</t>
        </is>
      </c>
    </row>
    <row r="3">
      <c r="A3" t="inlineStr">
        <is>
          <t>CostPerTransaction</t>
        </is>
      </c>
      <c r="B3" s="4" t="n">
        <v>3500</v>
      </c>
      <c r="C3" s="8" t="n">
        <v>2500000</v>
      </c>
      <c r="D3" s="9">
        <f>B3/C3</f>
        <v/>
      </c>
      <c r="E3" t="inlineStr">
        <is>
          <t>Transaction-related cost / transactions</t>
        </is>
      </c>
    </row>
    <row r="4">
      <c r="A4" t="inlineStr">
        <is>
          <t>CostPer1KInputTokens</t>
        </is>
      </c>
      <c r="B4" s="4" t="n">
        <v>7200</v>
      </c>
      <c r="C4" s="8" t="n">
        <v>120000</v>
      </c>
      <c r="D4" s="9">
        <f>B4/C4</f>
        <v/>
      </c>
      <c r="E4" t="inlineStr">
        <is>
          <t>LLM input cost / (input tokens / 1000)</t>
        </is>
      </c>
    </row>
    <row r="5">
      <c r="A5" t="inlineStr">
        <is>
          <t>CostPer1KOutputTokens</t>
        </is>
      </c>
      <c r="B5" s="4" t="n">
        <v>10800</v>
      </c>
      <c r="C5" s="8" t="n">
        <v>30000</v>
      </c>
      <c r="D5" s="9">
        <f>B5/C5</f>
        <v/>
      </c>
      <c r="E5" t="inlineStr">
        <is>
          <t>LLM output cost / (output tokens / 1000)</t>
        </is>
      </c>
    </row>
    <row r="6">
      <c r="A6" t="inlineStr">
        <is>
          <t>CostPerRequest</t>
        </is>
      </c>
      <c r="B6" s="4" t="n">
        <v>50000</v>
      </c>
      <c r="C6" s="8" t="n">
        <v>2000000</v>
      </c>
      <c r="D6" s="9">
        <f>B6/C6</f>
        <v/>
      </c>
      <c r="E6" t="inlineStr">
        <is>
          <t>AI total cost / total requests</t>
        </is>
      </c>
    </row>
    <row r="7">
      <c r="A7" s="2" t="inlineStr">
        <is>
          <t>TotalCloudCOGS</t>
        </is>
      </c>
      <c r="B7" s="7">
        <f>'L3-分摊结果'!D6</f>
        <v/>
      </c>
      <c r="C7" s="2" t="n"/>
      <c r="D7" s="2" t="n"/>
      <c r="E7" s="2" t="inlineStr">
        <is>
          <t>从 L3 分摊结果合计引用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16" customWidth="1" min="4" max="4"/>
    <col width="45" customWidth="1" min="5" max="5"/>
    <col width="19" customWidth="1" min="6" max="6"/>
  </cols>
  <sheetData>
    <row r="1">
      <c r="A1" s="3" t="inlineStr">
        <is>
          <t>Month</t>
        </is>
      </c>
      <c r="B1" s="3" t="inlineStr">
        <is>
          <t>ActualCost</t>
        </is>
      </c>
      <c r="C1" s="3" t="inlineStr">
        <is>
          <t>Budget</t>
        </is>
      </c>
      <c r="D1" s="3" t="inlineStr">
        <is>
          <t>MoM Growth%</t>
        </is>
      </c>
      <c r="E1" s="3" t="inlineStr">
        <is>
          <t>Forecast (Linear)</t>
        </is>
      </c>
      <c r="F1" s="3" t="inlineStr">
        <is>
          <t>Forecast (MA)</t>
        </is>
      </c>
    </row>
    <row r="2">
      <c r="A2" t="n">
        <v>1</v>
      </c>
      <c r="B2" s="4" t="n">
        <v>12500</v>
      </c>
      <c r="C2" s="4" t="n">
        <v>13000</v>
      </c>
      <c r="D2" s="5" t="n"/>
      <c r="E2" s="4">
        <f>FORECAST.LINEAR(A2,$B$2:$B$13,$A$2:$A$13)</f>
        <v/>
      </c>
      <c r="F2" s="4" t="n"/>
    </row>
    <row r="3">
      <c r="A3" t="n">
        <v>2</v>
      </c>
      <c r="B3" s="4" t="n">
        <v>13200</v>
      </c>
      <c r="C3" s="4" t="n">
        <v>13500</v>
      </c>
      <c r="D3" s="5">
        <f>(B3-B2)/B2</f>
        <v/>
      </c>
      <c r="E3" s="4">
        <f>FORECAST.LINEAR(A3,$B$2:$B$13,$A$2:$A$13)</f>
        <v/>
      </c>
      <c r="F3" s="4" t="n"/>
    </row>
    <row r="4">
      <c r="A4" t="n">
        <v>3</v>
      </c>
      <c r="B4" s="4" t="n">
        <v>14100</v>
      </c>
      <c r="C4" s="4" t="n">
        <v>14000</v>
      </c>
      <c r="D4" s="5">
        <f>(B4-B3)/B3</f>
        <v/>
      </c>
      <c r="E4" s="4">
        <f>FORECAST.LINEAR(A4,$B$2:$B$13,$A$2:$A$13)</f>
        <v/>
      </c>
      <c r="F4" s="4">
        <f>AVERAGE(B2:B4)</f>
        <v/>
      </c>
    </row>
    <row r="5">
      <c r="A5" t="n">
        <v>4</v>
      </c>
      <c r="B5" s="4" t="n">
        <v>13800</v>
      </c>
      <c r="C5" s="4" t="n">
        <v>14500</v>
      </c>
      <c r="D5" s="5">
        <f>(B5-B4)/B4</f>
        <v/>
      </c>
      <c r="E5" s="4">
        <f>FORECAST.LINEAR(A5,$B$2:$B$13,$A$2:$A$13)</f>
        <v/>
      </c>
      <c r="F5" s="4">
        <f>AVERAGE(B3:B5)</f>
        <v/>
      </c>
    </row>
    <row r="6">
      <c r="A6" t="n">
        <v>5</v>
      </c>
      <c r="B6" s="4" t="n">
        <v>15200</v>
      </c>
      <c r="C6" s="4" t="n">
        <v>15000</v>
      </c>
      <c r="D6" s="5">
        <f>(B6-B5)/B5</f>
        <v/>
      </c>
      <c r="E6" s="4">
        <f>FORECAST.LINEAR(A6,$B$2:$B$13,$A$2:$A$13)</f>
        <v/>
      </c>
      <c r="F6" s="4">
        <f>AVERAGE(B4:B6)</f>
        <v/>
      </c>
    </row>
    <row r="7">
      <c r="A7" t="n">
        <v>6</v>
      </c>
      <c r="B7" s="4" t="n">
        <v>15800</v>
      </c>
      <c r="C7" s="4" t="n">
        <v>15500</v>
      </c>
      <c r="D7" s="5">
        <f>(B7-B6)/B6</f>
        <v/>
      </c>
      <c r="E7" s="4">
        <f>FORECAST.LINEAR(A7,$B$2:$B$13,$A$2:$A$13)</f>
        <v/>
      </c>
      <c r="F7" s="4">
        <f>AVERAGE(B5:B7)</f>
        <v/>
      </c>
    </row>
    <row r="8">
      <c r="A8" t="n">
        <v>7</v>
      </c>
      <c r="B8" s="4" t="n">
        <v>16400</v>
      </c>
      <c r="C8" s="4" t="n">
        <v>16000</v>
      </c>
      <c r="D8" s="5">
        <f>(B8-B7)/B7</f>
        <v/>
      </c>
      <c r="E8" s="4">
        <f>FORECAST.LINEAR(A8,$B$2:$B$13,$A$2:$A$13)</f>
        <v/>
      </c>
      <c r="F8" s="4">
        <f>AVERAGE(B6:B8)</f>
        <v/>
      </c>
    </row>
    <row r="9">
      <c r="A9" t="n">
        <v>8</v>
      </c>
      <c r="B9" s="4" t="n">
        <v>17200</v>
      </c>
      <c r="C9" s="4" t="n">
        <v>16500</v>
      </c>
      <c r="D9" s="5">
        <f>(B9-B8)/B8</f>
        <v/>
      </c>
      <c r="E9" s="4">
        <f>FORECAST.LINEAR(A9,$B$2:$B$13,$A$2:$A$13)</f>
        <v/>
      </c>
      <c r="F9" s="4">
        <f>AVERAGE(B7:B9)</f>
        <v/>
      </c>
    </row>
    <row r="10">
      <c r="A10" t="n">
        <v>9</v>
      </c>
      <c r="B10" s="4" t="n">
        <v>16900</v>
      </c>
      <c r="C10" s="4" t="n">
        <v>17000</v>
      </c>
      <c r="D10" s="5">
        <f>(B10-B9)/B9</f>
        <v/>
      </c>
      <c r="E10" s="4">
        <f>FORECAST.LINEAR(A10,$B$2:$B$13,$A$2:$A$13)</f>
        <v/>
      </c>
      <c r="F10" s="4">
        <f>AVERAGE(B8:B10)</f>
        <v/>
      </c>
    </row>
    <row r="11">
      <c r="A11" t="n">
        <v>10</v>
      </c>
      <c r="B11" s="4" t="n">
        <v>18100</v>
      </c>
      <c r="C11" s="4" t="n">
        <v>17500</v>
      </c>
      <c r="D11" s="5">
        <f>(B11-B10)/B10</f>
        <v/>
      </c>
      <c r="E11" s="4">
        <f>FORECAST.LINEAR(A11,$B$2:$B$13,$A$2:$A$13)</f>
        <v/>
      </c>
      <c r="F11" s="4">
        <f>AVERAGE(B9:B11)</f>
        <v/>
      </c>
    </row>
    <row r="12">
      <c r="A12" t="n">
        <v>11</v>
      </c>
      <c r="B12" s="4" t="n">
        <v>18800</v>
      </c>
      <c r="C12" s="4" t="n">
        <v>18000</v>
      </c>
      <c r="D12" s="5">
        <f>(B12-B11)/B11</f>
        <v/>
      </c>
      <c r="E12" s="4">
        <f>FORECAST.LINEAR(A12,$B$2:$B$13,$A$2:$A$13)</f>
        <v/>
      </c>
      <c r="F12" s="4">
        <f>AVERAGE(B10:B12)</f>
        <v/>
      </c>
    </row>
    <row r="13">
      <c r="A13" t="n">
        <v>12</v>
      </c>
      <c r="B13" s="4" t="n">
        <v>19500</v>
      </c>
      <c r="C13" s="4" t="n">
        <v>18500</v>
      </c>
      <c r="D13" s="5">
        <f>(B13-B12)/B12</f>
        <v/>
      </c>
      <c r="E13" s="4">
        <f>FORECAST.LINEAR(A13,$B$2:$B$13,$A$2:$A$13)</f>
        <v/>
      </c>
      <c r="F13" s="4">
        <f>AVERAGE(B11:B13)</f>
        <v/>
      </c>
    </row>
    <row r="14"/>
    <row r="15">
      <c r="A15" s="2" t="inlineStr">
        <is>
          <t>年度总成本</t>
        </is>
      </c>
      <c r="B15" s="4">
        <f>SUM(B2:B13)</f>
        <v/>
      </c>
    </row>
    <row r="16">
      <c r="A16" s="2" t="inlineStr">
        <is>
          <t>年度预算</t>
        </is>
      </c>
      <c r="B16" s="4">
        <f>SUM(C2:C13)</f>
        <v/>
      </c>
    </row>
    <row r="17">
      <c r="A17" s="2" t="inlineStr">
        <is>
          <t>偏差</t>
        </is>
      </c>
      <c r="B17" s="4">
        <f>B15-B16</f>
        <v/>
      </c>
    </row>
    <row r="18">
      <c r="A18" s="2" t="inlineStr">
        <is>
          <t>执行率</t>
        </is>
      </c>
      <c r="B18" s="5">
        <f>B15/B16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6" customWidth="1" min="3" max="3"/>
    <col width="11" customWidth="1" min="4" max="4"/>
    <col width="11" customWidth="1" min="5" max="5"/>
    <col width="13" customWidth="1" min="6" max="6"/>
    <col width="37" customWidth="1" min="7" max="7"/>
    <col width="13" customWidth="1" min="8" max="8"/>
  </cols>
  <sheetData>
    <row r="1">
      <c r="A1" s="3" t="inlineStr">
        <is>
          <t>Workload</t>
        </is>
      </c>
      <c r="B1" s="3" t="inlineStr">
        <is>
          <t>Interruptible</t>
        </is>
      </c>
      <c r="C1" s="3" t="inlineStr">
        <is>
          <t>OnDemandAnnual</t>
        </is>
      </c>
      <c r="D1" s="3" t="inlineStr">
        <is>
          <t>RI Annual</t>
        </is>
      </c>
      <c r="E1" s="3" t="inlineStr">
        <is>
          <t>SP Annual</t>
        </is>
      </c>
      <c r="F1" s="3" t="inlineStr">
        <is>
          <t>Spot Annual</t>
        </is>
      </c>
      <c r="G1" s="3" t="inlineStr">
        <is>
          <t>Recommended</t>
        </is>
      </c>
      <c r="H1" s="3" t="inlineStr">
        <is>
          <t>Savings</t>
        </is>
      </c>
    </row>
    <row r="2">
      <c r="A2" t="inlineStr">
        <is>
          <t>WebFrontend</t>
        </is>
      </c>
      <c r="B2" t="inlineStr">
        <is>
          <t>No</t>
        </is>
      </c>
      <c r="C2" s="4" t="n">
        <v>120000</v>
      </c>
      <c r="D2" s="4" t="n">
        <v>84000</v>
      </c>
      <c r="E2" s="4" t="n">
        <v>90000</v>
      </c>
      <c r="F2" s="4" t="n">
        <v>48000</v>
      </c>
      <c r="G2" s="4">
        <f>IF(B2="Yes",MIN(C2:F2),MIN(C2:E2))</f>
        <v/>
      </c>
      <c r="H2" s="4">
        <f>C2-G2</f>
        <v/>
      </c>
    </row>
    <row r="3">
      <c r="A3" t="inlineStr">
        <is>
          <t>BatchETL</t>
        </is>
      </c>
      <c r="B3" t="inlineStr">
        <is>
          <t>Yes</t>
        </is>
      </c>
      <c r="C3" s="4" t="n">
        <v>80000</v>
      </c>
      <c r="D3" s="4" t="n">
        <v>56000</v>
      </c>
      <c r="E3" s="4" t="n">
        <v>60000</v>
      </c>
      <c r="F3" s="4" t="n">
        <v>32000</v>
      </c>
      <c r="G3" s="4">
        <f>IF(B3="Yes",MIN(C3:F3),MIN(C3:E3))</f>
        <v/>
      </c>
      <c r="H3" s="4">
        <f>C3-G3</f>
        <v/>
      </c>
    </row>
    <row r="4">
      <c r="A4" t="inlineStr">
        <is>
          <t>AIModelInference</t>
        </is>
      </c>
      <c r="B4" t="inlineStr">
        <is>
          <t>No</t>
        </is>
      </c>
      <c r="C4" s="4" t="n">
        <v>240000</v>
      </c>
      <c r="D4" s="4" t="n">
        <v>168000</v>
      </c>
      <c r="E4" s="4" t="n">
        <v>180000</v>
      </c>
      <c r="F4" s="4" t="n">
        <v>120000</v>
      </c>
      <c r="G4" s="4">
        <f>IF(B4="Yes",MIN(C4:F4),MIN(C4:E4))</f>
        <v/>
      </c>
      <c r="H4" s="4">
        <f>C4-G4</f>
        <v/>
      </c>
    </row>
    <row r="5">
      <c r="A5" t="inlineStr">
        <is>
          <t>DataPipeline</t>
        </is>
      </c>
      <c r="B5" t="inlineStr">
        <is>
          <t>Yes</t>
        </is>
      </c>
      <c r="C5" s="4" t="n">
        <v>60000</v>
      </c>
      <c r="D5" s="4" t="n">
        <v>42000</v>
      </c>
      <c r="E5" s="4" t="n">
        <v>45000</v>
      </c>
      <c r="F5" s="4" t="n">
        <v>24000</v>
      </c>
      <c r="G5" s="4">
        <f>IF(B5="Yes",MIN(C5:F5),MIN(C5:E5))</f>
        <v/>
      </c>
      <c r="H5" s="4">
        <f>C5-G5</f>
        <v/>
      </c>
    </row>
    <row r="6">
      <c r="A6" t="inlineStr">
        <is>
          <t>CacheCluster</t>
        </is>
      </c>
      <c r="B6" t="inlineStr">
        <is>
          <t>No</t>
        </is>
      </c>
      <c r="C6" s="4" t="n">
        <v>45000</v>
      </c>
      <c r="D6" s="4" t="n">
        <v>31500</v>
      </c>
      <c r="E6" s="4" t="n">
        <v>33750</v>
      </c>
      <c r="F6" s="4" t="n">
        <v>18000</v>
      </c>
      <c r="G6" s="4">
        <f>IF(B6="Yes",MIN(C6:F6),MIN(C6:E6))</f>
        <v/>
      </c>
      <c r="H6" s="4">
        <f>C6-G6</f>
        <v/>
      </c>
    </row>
    <row r="7">
      <c r="A7" t="inlineStr">
        <is>
          <t>SearchIndexer</t>
        </is>
      </c>
      <c r="B7" t="inlineStr">
        <is>
          <t>Yes</t>
        </is>
      </c>
      <c r="C7" s="4" t="n">
        <v>90000</v>
      </c>
      <c r="D7" s="4" t="n">
        <v>63000</v>
      </c>
      <c r="E7" s="4" t="n">
        <v>67500</v>
      </c>
      <c r="F7" s="4" t="n">
        <v>36000</v>
      </c>
      <c r="G7" s="4">
        <f>IF(B7="Yes",MIN(C7:F7),MIN(C7:E7))</f>
        <v/>
      </c>
      <c r="H7" s="4">
        <f>C7-G7</f>
        <v/>
      </c>
    </row>
    <row r="8">
      <c r="A8" s="2" t="inlineStr">
        <is>
          <t>合计</t>
        </is>
      </c>
      <c r="C8" s="4">
        <f>SUM(C2:C7)</f>
        <v/>
      </c>
      <c r="G8" s="4">
        <f>SUM(G2:G7)</f>
        <v/>
      </c>
      <c r="H8" s="4">
        <f>SUM(H2:H7)</f>
        <v/>
      </c>
    </row>
    <row r="9">
      <c r="A9" s="2" t="inlineStr">
        <is>
          <t>节省率</t>
        </is>
      </c>
      <c r="H9" s="5">
        <f>H8/C8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7" customWidth="1" min="4" max="4"/>
    <col width="22" customWidth="1" min="5" max="5"/>
    <col width="22" customWidth="1" min="6" max="6"/>
    <col width="16" customWidth="1" min="7" max="7"/>
    <col width="28" customWidth="1" min="8" max="8"/>
  </cols>
  <sheetData>
    <row r="1">
      <c r="A1" s="3" t="inlineStr">
        <is>
          <t>Date</t>
        </is>
      </c>
      <c r="B1" s="3" t="inlineStr">
        <is>
          <t>Resource</t>
        </is>
      </c>
      <c r="C1" s="3" t="inlineStr">
        <is>
          <t>Service</t>
        </is>
      </c>
      <c r="D1" s="3" t="inlineStr">
        <is>
          <t>Cost</t>
        </is>
      </c>
      <c r="E1" s="3" t="inlineStr">
        <is>
          <t>Mean</t>
        </is>
      </c>
      <c r="F1" s="3" t="inlineStr">
        <is>
          <t>StdDev</t>
        </is>
      </c>
      <c r="G1" s="3" t="inlineStr">
        <is>
          <t>Z-Score</t>
        </is>
      </c>
      <c r="H1" s="3" t="inlineStr">
        <is>
          <t>IsAnomaly</t>
        </is>
      </c>
    </row>
    <row r="2">
      <c r="A2" t="inlineStr">
        <is>
          <t>2026-01-01</t>
        </is>
      </c>
      <c r="B2" t="inlineStr">
        <is>
          <t>resource-01</t>
        </is>
      </c>
      <c r="C2" t="inlineStr">
        <is>
          <t>EC2</t>
        </is>
      </c>
      <c r="D2" s="4" t="n">
        <v>98.5</v>
      </c>
      <c r="E2" s="4">
        <f>AVERAGE($D$2:$D$31)</f>
        <v/>
      </c>
      <c r="F2" s="4">
        <f>STDEV.S($D$2:$D$31)</f>
        <v/>
      </c>
      <c r="G2" s="10">
        <f>(D2-E2)/F2</f>
        <v/>
      </c>
      <c r="H2">
        <f>IF(ABS(G2)&gt;2,"Yes","No")</f>
        <v/>
      </c>
    </row>
    <row r="3">
      <c r="A3" t="inlineStr">
        <is>
          <t>2026-01-02</t>
        </is>
      </c>
      <c r="B3" t="inlineStr">
        <is>
          <t>resource-02</t>
        </is>
      </c>
      <c r="C3" t="inlineStr">
        <is>
          <t>RDS</t>
        </is>
      </c>
      <c r="D3" s="4" t="n">
        <v>102.3</v>
      </c>
      <c r="E3" s="4">
        <f>AVERAGE($D$2:$D$31)</f>
        <v/>
      </c>
      <c r="F3" s="4">
        <f>STDEV.S($D$2:$D$31)</f>
        <v/>
      </c>
      <c r="G3" s="10">
        <f>(D3-E3)/F3</f>
        <v/>
      </c>
      <c r="H3">
        <f>IF(ABS(G3)&gt;2,"Yes","No")</f>
        <v/>
      </c>
    </row>
    <row r="4">
      <c r="A4" t="inlineStr">
        <is>
          <t>2026-01-03</t>
        </is>
      </c>
      <c r="B4" t="inlineStr">
        <is>
          <t>resource-03</t>
        </is>
      </c>
      <c r="C4" t="inlineStr">
        <is>
          <t>S3</t>
        </is>
      </c>
      <c r="D4" s="4" t="n">
        <v>95</v>
      </c>
      <c r="E4" s="4">
        <f>AVERAGE($D$2:$D$31)</f>
        <v/>
      </c>
      <c r="F4" s="4">
        <f>STDEV.S($D$2:$D$31)</f>
        <v/>
      </c>
      <c r="G4" s="10">
        <f>(D4-E4)/F4</f>
        <v/>
      </c>
      <c r="H4">
        <f>IF(ABS(G4)&gt;2,"Yes","No")</f>
        <v/>
      </c>
    </row>
    <row r="5">
      <c r="A5" t="inlineStr">
        <is>
          <t>2026-01-04</t>
        </is>
      </c>
      <c r="B5" t="inlineStr">
        <is>
          <t>resource-04</t>
        </is>
      </c>
      <c r="C5" t="inlineStr">
        <is>
          <t>Lambda</t>
        </is>
      </c>
      <c r="D5" s="4" t="n">
        <v>105.2</v>
      </c>
      <c r="E5" s="4">
        <f>AVERAGE($D$2:$D$31)</f>
        <v/>
      </c>
      <c r="F5" s="4">
        <f>STDEV.S($D$2:$D$31)</f>
        <v/>
      </c>
      <c r="G5" s="10">
        <f>(D5-E5)/F5</f>
        <v/>
      </c>
      <c r="H5">
        <f>IF(ABS(G5)&gt;2,"Yes","No")</f>
        <v/>
      </c>
    </row>
    <row r="6">
      <c r="A6" t="inlineStr">
        <is>
          <t>2026-01-05</t>
        </is>
      </c>
      <c r="B6" t="inlineStr">
        <is>
          <t>resource-05</t>
        </is>
      </c>
      <c r="C6" t="inlineStr">
        <is>
          <t>EC2</t>
        </is>
      </c>
      <c r="D6" s="4" t="n">
        <v>99.8</v>
      </c>
      <c r="E6" s="4">
        <f>AVERAGE($D$2:$D$31)</f>
        <v/>
      </c>
      <c r="F6" s="4">
        <f>STDEV.S($D$2:$D$31)</f>
        <v/>
      </c>
      <c r="G6" s="10">
        <f>(D6-E6)/F6</f>
        <v/>
      </c>
      <c r="H6">
        <f>IF(ABS(G6)&gt;2,"Yes","No")</f>
        <v/>
      </c>
    </row>
    <row r="7">
      <c r="A7" t="inlineStr">
        <is>
          <t>2026-01-06</t>
        </is>
      </c>
      <c r="B7" t="inlineStr">
        <is>
          <t>resource-06</t>
        </is>
      </c>
      <c r="C7" t="inlineStr">
        <is>
          <t>AI</t>
        </is>
      </c>
      <c r="D7" s="4" t="n">
        <v>101.5</v>
      </c>
      <c r="E7" s="4">
        <f>AVERAGE($D$2:$D$31)</f>
        <v/>
      </c>
      <c r="F7" s="4">
        <f>STDEV.S($D$2:$D$31)</f>
        <v/>
      </c>
      <c r="G7" s="10">
        <f>(D7-E7)/F7</f>
        <v/>
      </c>
      <c r="H7">
        <f>IF(ABS(G7)&gt;2,"Yes","No")</f>
        <v/>
      </c>
    </row>
    <row r="8">
      <c r="A8" t="inlineStr">
        <is>
          <t>2026-01-07</t>
        </is>
      </c>
      <c r="B8" t="inlineStr">
        <is>
          <t>resource-07</t>
        </is>
      </c>
      <c r="C8" t="inlineStr">
        <is>
          <t>RDS</t>
        </is>
      </c>
      <c r="D8" s="4" t="n">
        <v>97.2</v>
      </c>
      <c r="E8" s="4">
        <f>AVERAGE($D$2:$D$31)</f>
        <v/>
      </c>
      <c r="F8" s="4">
        <f>STDEV.S($D$2:$D$31)</f>
        <v/>
      </c>
      <c r="G8" s="10">
        <f>(D8-E8)/F8</f>
        <v/>
      </c>
      <c r="H8">
        <f>IF(ABS(G8)&gt;2,"Yes","No")</f>
        <v/>
      </c>
    </row>
    <row r="9">
      <c r="A9" t="inlineStr">
        <is>
          <t>2026-01-08</t>
        </is>
      </c>
      <c r="B9" t="inlineStr">
        <is>
          <t>resource-08</t>
        </is>
      </c>
      <c r="C9" t="inlineStr">
        <is>
          <t>EC2</t>
        </is>
      </c>
      <c r="D9" s="4" t="n">
        <v>500</v>
      </c>
      <c r="E9" s="4">
        <f>AVERAGE($D$2:$D$31)</f>
        <v/>
      </c>
      <c r="F9" s="4">
        <f>STDEV.S($D$2:$D$31)</f>
        <v/>
      </c>
      <c r="G9" s="10">
        <f>(D9-E9)/F9</f>
        <v/>
      </c>
      <c r="H9">
        <f>IF(ABS(G9)&gt;2,"Yes","No")</f>
        <v/>
      </c>
    </row>
    <row r="10">
      <c r="A10" t="inlineStr">
        <is>
          <t>2026-01-09</t>
        </is>
      </c>
      <c r="B10" t="inlineStr">
        <is>
          <t>resource-09</t>
        </is>
      </c>
      <c r="C10" t="inlineStr">
        <is>
          <t>S3</t>
        </is>
      </c>
      <c r="D10" s="4" t="n">
        <v>100.1</v>
      </c>
      <c r="E10" s="4">
        <f>AVERAGE($D$2:$D$31)</f>
        <v/>
      </c>
      <c r="F10" s="4">
        <f>STDEV.S($D$2:$D$31)</f>
        <v/>
      </c>
      <c r="G10" s="10">
        <f>(D10-E10)/F10</f>
        <v/>
      </c>
      <c r="H10">
        <f>IF(ABS(G10)&gt;2,"Yes","No")</f>
        <v/>
      </c>
    </row>
    <row r="11">
      <c r="A11" t="inlineStr">
        <is>
          <t>2026-01-10</t>
        </is>
      </c>
      <c r="B11" t="inlineStr">
        <is>
          <t>resource-10</t>
        </is>
      </c>
      <c r="C11" t="inlineStr">
        <is>
          <t>Lambda</t>
        </is>
      </c>
      <c r="D11" s="4" t="n">
        <v>96.7</v>
      </c>
      <c r="E11" s="4">
        <f>AVERAGE($D$2:$D$31)</f>
        <v/>
      </c>
      <c r="F11" s="4">
        <f>STDEV.S($D$2:$D$31)</f>
        <v/>
      </c>
      <c r="G11" s="10">
        <f>(D11-E11)/F11</f>
        <v/>
      </c>
      <c r="H11">
        <f>IF(ABS(G11)&gt;2,"Yes","No")</f>
        <v/>
      </c>
    </row>
    <row r="12">
      <c r="A12" t="inlineStr">
        <is>
          <t>2026-01-11</t>
        </is>
      </c>
      <c r="B12" t="inlineStr">
        <is>
          <t>resource-11</t>
        </is>
      </c>
      <c r="C12" t="inlineStr">
        <is>
          <t>EC2</t>
        </is>
      </c>
      <c r="D12" s="4" t="n">
        <v>103.4</v>
      </c>
      <c r="E12" s="4">
        <f>AVERAGE($D$2:$D$31)</f>
        <v/>
      </c>
      <c r="F12" s="4">
        <f>STDEV.S($D$2:$D$31)</f>
        <v/>
      </c>
      <c r="G12" s="10">
        <f>(D12-E12)/F12</f>
        <v/>
      </c>
      <c r="H12">
        <f>IF(ABS(G12)&gt;2,"Yes","No")</f>
        <v/>
      </c>
    </row>
    <row r="13">
      <c r="A13" t="inlineStr">
        <is>
          <t>2026-01-12</t>
        </is>
      </c>
      <c r="B13" t="inlineStr">
        <is>
          <t>resource-12</t>
        </is>
      </c>
      <c r="C13" t="inlineStr">
        <is>
          <t>RDS</t>
        </is>
      </c>
      <c r="D13" s="4" t="n">
        <v>98.90000000000001</v>
      </c>
      <c r="E13" s="4">
        <f>AVERAGE($D$2:$D$31)</f>
        <v/>
      </c>
      <c r="F13" s="4">
        <f>STDEV.S($D$2:$D$31)</f>
        <v/>
      </c>
      <c r="G13" s="10">
        <f>(D13-E13)/F13</f>
        <v/>
      </c>
      <c r="H13">
        <f>IF(ABS(G13)&gt;2,"Yes","No")</f>
        <v/>
      </c>
    </row>
    <row r="14">
      <c r="A14" t="inlineStr">
        <is>
          <t>2026-01-13</t>
        </is>
      </c>
      <c r="B14" t="inlineStr">
        <is>
          <t>resource-13</t>
        </is>
      </c>
      <c r="C14" t="inlineStr">
        <is>
          <t>AI</t>
        </is>
      </c>
      <c r="D14" s="4" t="n">
        <v>104.6</v>
      </c>
      <c r="E14" s="4">
        <f>AVERAGE($D$2:$D$31)</f>
        <v/>
      </c>
      <c r="F14" s="4">
        <f>STDEV.S($D$2:$D$31)</f>
        <v/>
      </c>
      <c r="G14" s="10">
        <f>(D14-E14)/F14</f>
        <v/>
      </c>
      <c r="H14">
        <f>IF(ABS(G14)&gt;2,"Yes","No")</f>
        <v/>
      </c>
    </row>
    <row r="15">
      <c r="A15" t="inlineStr">
        <is>
          <t>2026-01-14</t>
        </is>
      </c>
      <c r="B15" t="inlineStr">
        <is>
          <t>resource-14</t>
        </is>
      </c>
      <c r="C15" t="inlineStr">
        <is>
          <t>S3</t>
        </is>
      </c>
      <c r="D15" s="4" t="n">
        <v>97.5</v>
      </c>
      <c r="E15" s="4">
        <f>AVERAGE($D$2:$D$31)</f>
        <v/>
      </c>
      <c r="F15" s="4">
        <f>STDEV.S($D$2:$D$31)</f>
        <v/>
      </c>
      <c r="G15" s="10">
        <f>(D15-E15)/F15</f>
        <v/>
      </c>
      <c r="H15">
        <f>IF(ABS(G15)&gt;2,"Yes","No")</f>
        <v/>
      </c>
    </row>
    <row r="16">
      <c r="A16" t="inlineStr">
        <is>
          <t>2026-01-15</t>
        </is>
      </c>
      <c r="B16" t="inlineStr">
        <is>
          <t>resource-15</t>
        </is>
      </c>
      <c r="C16" t="inlineStr">
        <is>
          <t>Lambda</t>
        </is>
      </c>
      <c r="D16" s="4" t="n">
        <v>101.2</v>
      </c>
      <c r="E16" s="4">
        <f>AVERAGE($D$2:$D$31)</f>
        <v/>
      </c>
      <c r="F16" s="4">
        <f>STDEV.S($D$2:$D$31)</f>
        <v/>
      </c>
      <c r="G16" s="10">
        <f>(D16-E16)/F16</f>
        <v/>
      </c>
      <c r="H16">
        <f>IF(ABS(G16)&gt;2,"Yes","No")</f>
        <v/>
      </c>
    </row>
    <row r="17">
      <c r="A17" t="inlineStr">
        <is>
          <t>2026-01-16</t>
        </is>
      </c>
      <c r="B17" t="inlineStr">
        <is>
          <t>resource-16</t>
        </is>
      </c>
      <c r="C17" t="inlineStr">
        <is>
          <t>EC2</t>
        </is>
      </c>
      <c r="D17" s="4" t="n">
        <v>99.3</v>
      </c>
      <c r="E17" s="4">
        <f>AVERAGE($D$2:$D$31)</f>
        <v/>
      </c>
      <c r="F17" s="4">
        <f>STDEV.S($D$2:$D$31)</f>
        <v/>
      </c>
      <c r="G17" s="10">
        <f>(D17-E17)/F17</f>
        <v/>
      </c>
      <c r="H17">
        <f>IF(ABS(G17)&gt;2,"Yes","No")</f>
        <v/>
      </c>
    </row>
    <row r="18">
      <c r="A18" t="inlineStr">
        <is>
          <t>2026-01-17</t>
        </is>
      </c>
      <c r="B18" t="inlineStr">
        <is>
          <t>resource-17</t>
        </is>
      </c>
      <c r="C18" t="inlineStr">
        <is>
          <t>RDS</t>
        </is>
      </c>
      <c r="D18" s="4" t="n">
        <v>100.8</v>
      </c>
      <c r="E18" s="4">
        <f>AVERAGE($D$2:$D$31)</f>
        <v/>
      </c>
      <c r="F18" s="4">
        <f>STDEV.S($D$2:$D$31)</f>
        <v/>
      </c>
      <c r="G18" s="10">
        <f>(D18-E18)/F18</f>
        <v/>
      </c>
      <c r="H18">
        <f>IF(ABS(G18)&gt;2,"Yes","No")</f>
        <v/>
      </c>
    </row>
    <row r="19">
      <c r="A19" t="inlineStr">
        <is>
          <t>2026-01-18</t>
        </is>
      </c>
      <c r="B19" t="inlineStr">
        <is>
          <t>resource-18</t>
        </is>
      </c>
      <c r="C19" t="inlineStr">
        <is>
          <t>AI</t>
        </is>
      </c>
      <c r="D19" s="4" t="n">
        <v>650</v>
      </c>
      <c r="E19" s="4">
        <f>AVERAGE($D$2:$D$31)</f>
        <v/>
      </c>
      <c r="F19" s="4">
        <f>STDEV.S($D$2:$D$31)</f>
        <v/>
      </c>
      <c r="G19" s="10">
        <f>(D19-E19)/F19</f>
        <v/>
      </c>
      <c r="H19">
        <f>IF(ABS(G19)&gt;2,"Yes","No")</f>
        <v/>
      </c>
    </row>
    <row r="20">
      <c r="A20" t="inlineStr">
        <is>
          <t>2026-01-19</t>
        </is>
      </c>
      <c r="B20" t="inlineStr">
        <is>
          <t>resource-19</t>
        </is>
      </c>
      <c r="C20" t="inlineStr">
        <is>
          <t>S3</t>
        </is>
      </c>
      <c r="D20" s="4" t="n">
        <v>96.40000000000001</v>
      </c>
      <c r="E20" s="4">
        <f>AVERAGE($D$2:$D$31)</f>
        <v/>
      </c>
      <c r="F20" s="4">
        <f>STDEV.S($D$2:$D$31)</f>
        <v/>
      </c>
      <c r="G20" s="10">
        <f>(D20-E20)/F20</f>
        <v/>
      </c>
      <c r="H20">
        <f>IF(ABS(G20)&gt;2,"Yes","No")</f>
        <v/>
      </c>
    </row>
    <row r="21">
      <c r="A21" t="inlineStr">
        <is>
          <t>2026-01-20</t>
        </is>
      </c>
      <c r="B21" t="inlineStr">
        <is>
          <t>resource-20</t>
        </is>
      </c>
      <c r="C21" t="inlineStr">
        <is>
          <t>Lambda</t>
        </is>
      </c>
      <c r="D21" s="4" t="n">
        <v>102.7</v>
      </c>
      <c r="E21" s="4">
        <f>AVERAGE($D$2:$D$31)</f>
        <v/>
      </c>
      <c r="F21" s="4">
        <f>STDEV.S($D$2:$D$31)</f>
        <v/>
      </c>
      <c r="G21" s="10">
        <f>(D21-E21)/F21</f>
        <v/>
      </c>
      <c r="H21">
        <f>IF(ABS(G21)&gt;2,"Yes","No")</f>
        <v/>
      </c>
    </row>
    <row r="22">
      <c r="A22" t="inlineStr">
        <is>
          <t>2026-01-21</t>
        </is>
      </c>
      <c r="B22" t="inlineStr">
        <is>
          <t>resource-21</t>
        </is>
      </c>
      <c r="C22" t="inlineStr">
        <is>
          <t>EC2</t>
        </is>
      </c>
      <c r="D22" s="4" t="n">
        <v>98.09999999999999</v>
      </c>
      <c r="E22" s="4">
        <f>AVERAGE($D$2:$D$31)</f>
        <v/>
      </c>
      <c r="F22" s="4">
        <f>STDEV.S($D$2:$D$31)</f>
        <v/>
      </c>
      <c r="G22" s="10">
        <f>(D22-E22)/F22</f>
        <v/>
      </c>
      <c r="H22">
        <f>IF(ABS(G22)&gt;2,"Yes","No")</f>
        <v/>
      </c>
    </row>
    <row r="23">
      <c r="A23" t="inlineStr">
        <is>
          <t>2026-01-22</t>
        </is>
      </c>
      <c r="B23" t="inlineStr">
        <is>
          <t>resource-22</t>
        </is>
      </c>
      <c r="C23" t="inlineStr">
        <is>
          <t>RDS</t>
        </is>
      </c>
      <c r="D23" s="4" t="n">
        <v>101.9</v>
      </c>
      <c r="E23" s="4">
        <f>AVERAGE($D$2:$D$31)</f>
        <v/>
      </c>
      <c r="F23" s="4">
        <f>STDEV.S($D$2:$D$31)</f>
        <v/>
      </c>
      <c r="G23" s="10">
        <f>(D23-E23)/F23</f>
        <v/>
      </c>
      <c r="H23">
        <f>IF(ABS(G23)&gt;2,"Yes","No")</f>
        <v/>
      </c>
    </row>
    <row r="24">
      <c r="A24" t="inlineStr">
        <is>
          <t>2026-01-23</t>
        </is>
      </c>
      <c r="B24" t="inlineStr">
        <is>
          <t>resource-23</t>
        </is>
      </c>
      <c r="C24" t="inlineStr">
        <is>
          <t>AI</t>
        </is>
      </c>
      <c r="D24" s="4" t="n">
        <v>97.8</v>
      </c>
      <c r="E24" s="4">
        <f>AVERAGE($D$2:$D$31)</f>
        <v/>
      </c>
      <c r="F24" s="4">
        <f>STDEV.S($D$2:$D$31)</f>
        <v/>
      </c>
      <c r="G24" s="10">
        <f>(D24-E24)/F24</f>
        <v/>
      </c>
      <c r="H24">
        <f>IF(ABS(G24)&gt;2,"Yes","No")</f>
        <v/>
      </c>
    </row>
    <row r="25">
      <c r="A25" t="inlineStr">
        <is>
          <t>2026-01-24</t>
        </is>
      </c>
      <c r="B25" t="inlineStr">
        <is>
          <t>resource-24</t>
        </is>
      </c>
      <c r="C25" t="inlineStr">
        <is>
          <t>S3</t>
        </is>
      </c>
      <c r="D25" s="4" t="n">
        <v>100.5</v>
      </c>
      <c r="E25" s="4">
        <f>AVERAGE($D$2:$D$31)</f>
        <v/>
      </c>
      <c r="F25" s="4">
        <f>STDEV.S($D$2:$D$31)</f>
        <v/>
      </c>
      <c r="G25" s="10">
        <f>(D25-E25)/F25</f>
        <v/>
      </c>
      <c r="H25">
        <f>IF(ABS(G25)&gt;2,"Yes","No")</f>
        <v/>
      </c>
    </row>
    <row r="26">
      <c r="A26" t="inlineStr">
        <is>
          <t>2026-01-25</t>
        </is>
      </c>
      <c r="B26" t="inlineStr">
        <is>
          <t>resource-25</t>
        </is>
      </c>
      <c r="C26" t="inlineStr">
        <is>
          <t>Lambda</t>
        </is>
      </c>
      <c r="D26" s="4" t="n">
        <v>99.59999999999999</v>
      </c>
      <c r="E26" s="4">
        <f>AVERAGE($D$2:$D$31)</f>
        <v/>
      </c>
      <c r="F26" s="4">
        <f>STDEV.S($D$2:$D$31)</f>
        <v/>
      </c>
      <c r="G26" s="10">
        <f>(D26-E26)/F26</f>
        <v/>
      </c>
      <c r="H26">
        <f>IF(ABS(G26)&gt;2,"Yes","No")</f>
        <v/>
      </c>
    </row>
    <row r="27">
      <c r="A27" t="inlineStr">
        <is>
          <t>2026-01-26</t>
        </is>
      </c>
      <c r="B27" t="inlineStr">
        <is>
          <t>resource-26</t>
        </is>
      </c>
      <c r="C27" t="inlineStr">
        <is>
          <t>EC2</t>
        </is>
      </c>
      <c r="D27" s="4" t="n">
        <v>103.1</v>
      </c>
      <c r="E27" s="4">
        <f>AVERAGE($D$2:$D$31)</f>
        <v/>
      </c>
      <c r="F27" s="4">
        <f>STDEV.S($D$2:$D$31)</f>
        <v/>
      </c>
      <c r="G27" s="10">
        <f>(D27-E27)/F27</f>
        <v/>
      </c>
      <c r="H27">
        <f>IF(ABS(G27)&gt;2,"Yes","No")</f>
        <v/>
      </c>
    </row>
    <row r="28">
      <c r="A28" t="inlineStr">
        <is>
          <t>2026-01-27</t>
        </is>
      </c>
      <c r="B28" t="inlineStr">
        <is>
          <t>resource-27</t>
        </is>
      </c>
      <c r="C28" t="inlineStr">
        <is>
          <t>RDS</t>
        </is>
      </c>
      <c r="D28" s="4" t="n">
        <v>98.40000000000001</v>
      </c>
      <c r="E28" s="4">
        <f>AVERAGE($D$2:$D$31)</f>
        <v/>
      </c>
      <c r="F28" s="4">
        <f>STDEV.S($D$2:$D$31)</f>
        <v/>
      </c>
      <c r="G28" s="10">
        <f>(D28-E28)/F28</f>
        <v/>
      </c>
      <c r="H28">
        <f>IF(ABS(G28)&gt;2,"Yes","No")</f>
        <v/>
      </c>
    </row>
    <row r="29">
      <c r="A29" t="inlineStr">
        <is>
          <t>2026-01-28</t>
        </is>
      </c>
      <c r="B29" t="inlineStr">
        <is>
          <t>resource-28</t>
        </is>
      </c>
      <c r="C29" t="inlineStr">
        <is>
          <t>AI</t>
        </is>
      </c>
      <c r="D29" s="4" t="n">
        <v>720</v>
      </c>
      <c r="E29" s="4">
        <f>AVERAGE($D$2:$D$31)</f>
        <v/>
      </c>
      <c r="F29" s="4">
        <f>STDEV.S($D$2:$D$31)</f>
        <v/>
      </c>
      <c r="G29" s="10">
        <f>(D29-E29)/F29</f>
        <v/>
      </c>
      <c r="H29">
        <f>IF(ABS(G29)&gt;2,"Yes","No")</f>
        <v/>
      </c>
    </row>
    <row r="30">
      <c r="A30" t="inlineStr">
        <is>
          <t>2026-01-29</t>
        </is>
      </c>
      <c r="B30" t="inlineStr">
        <is>
          <t>resource-29</t>
        </is>
      </c>
      <c r="C30" t="inlineStr">
        <is>
          <t>S3</t>
        </is>
      </c>
      <c r="D30" s="4" t="n">
        <v>101.3</v>
      </c>
      <c r="E30" s="4">
        <f>AVERAGE($D$2:$D$31)</f>
        <v/>
      </c>
      <c r="F30" s="4">
        <f>STDEV.S($D$2:$D$31)</f>
        <v/>
      </c>
      <c r="G30" s="10">
        <f>(D30-E30)/F30</f>
        <v/>
      </c>
      <c r="H30">
        <f>IF(ABS(G30)&gt;2,"Yes","No")</f>
        <v/>
      </c>
    </row>
    <row r="31">
      <c r="A31" t="inlineStr">
        <is>
          <t>2026-01-30</t>
        </is>
      </c>
      <c r="B31" t="inlineStr">
        <is>
          <t>resource-30</t>
        </is>
      </c>
      <c r="C31" t="inlineStr">
        <is>
          <t>Lambda</t>
        </is>
      </c>
      <c r="D31" s="4" t="n">
        <v>97.7</v>
      </c>
      <c r="E31" s="4">
        <f>AVERAGE($D$2:$D$31)</f>
        <v/>
      </c>
      <c r="F31" s="4">
        <f>STDEV.S($D$2:$D$31)</f>
        <v/>
      </c>
      <c r="G31" s="10">
        <f>(D31-E31)/F31</f>
        <v/>
      </c>
      <c r="H31">
        <f>IF(ABS(G31)&gt;2,"Yes","No")</f>
        <v/>
      </c>
    </row>
    <row r="32"/>
    <row r="33">
      <c r="A33" s="2" t="inlineStr">
        <is>
          <t>异常数</t>
        </is>
      </c>
      <c r="H33">
        <f>COUNTIF($H$2:$H$31,"Yes")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1" customWidth="1" min="4" max="4"/>
    <col width="13" customWidth="1" min="5" max="5"/>
    <col width="14" customWidth="1" min="6" max="6"/>
    <col width="10" customWidth="1" min="7" max="7"/>
    <col width="12" customWidth="1" min="8" max="8"/>
    <col width="16" customWidth="1" min="9" max="9"/>
    <col width="20" customWidth="1" min="10" max="10"/>
  </cols>
  <sheetData>
    <row r="1">
      <c r="A1" s="3" t="inlineStr">
        <is>
          <t>Team</t>
        </is>
      </c>
      <c r="B1" s="3" t="inlineStr">
        <is>
          <t>Project</t>
        </is>
      </c>
      <c r="C1" s="3" t="inlineStr">
        <is>
          <t>Model</t>
        </is>
      </c>
      <c r="D1" s="3" t="inlineStr">
        <is>
          <t>GPU Hours</t>
        </is>
      </c>
      <c r="E1" s="3" t="inlineStr">
        <is>
          <t>Token Input</t>
        </is>
      </c>
      <c r="F1" s="3" t="inlineStr">
        <is>
          <t>Token Output</t>
        </is>
      </c>
      <c r="G1" s="3" t="inlineStr">
        <is>
          <t>GPU Cost</t>
        </is>
      </c>
      <c r="H1" s="3" t="inlineStr">
        <is>
          <t>Token Cost</t>
        </is>
      </c>
      <c r="I1" s="3" t="inlineStr">
        <is>
          <t>Allocated Cost</t>
        </is>
      </c>
      <c r="J1" s="3" t="inlineStr">
        <is>
          <t>%Share</t>
        </is>
      </c>
    </row>
    <row r="2">
      <c r="A2" t="inlineStr">
        <is>
          <t>AI-Platform</t>
        </is>
      </c>
      <c r="B2" t="inlineStr">
        <is>
          <t>Chatbot</t>
        </is>
      </c>
      <c r="C2" t="inlineStr">
        <is>
          <t>GPT-4</t>
        </is>
      </c>
      <c r="D2" s="4" t="n">
        <v>500</v>
      </c>
      <c r="E2" s="8" t="n">
        <v>2000000</v>
      </c>
      <c r="F2" s="8" t="n">
        <v>500000</v>
      </c>
      <c r="G2" s="4" t="n">
        <v>25000</v>
      </c>
      <c r="H2" s="4" t="n">
        <v>8000</v>
      </c>
      <c r="I2" s="4">
        <f>G2+H2</f>
        <v/>
      </c>
      <c r="J2" s="5">
        <f>I2/SUM($I$2:$I$4)</f>
        <v/>
      </c>
    </row>
    <row r="3">
      <c r="A3" t="inlineStr">
        <is>
          <t>Search-Team</t>
        </is>
      </c>
      <c r="B3" t="inlineStr">
        <is>
          <t>SemanticSearch</t>
        </is>
      </c>
      <c r="C3" t="inlineStr">
        <is>
          <t>Embedding-v3</t>
        </is>
      </c>
      <c r="D3" s="4" t="n">
        <v>300</v>
      </c>
      <c r="E3" s="8" t="n">
        <v>800000</v>
      </c>
      <c r="F3" s="8" t="n">
        <v>200000</v>
      </c>
      <c r="G3" s="4" t="n">
        <v>15000</v>
      </c>
      <c r="H3" s="4" t="n">
        <v>3200</v>
      </c>
      <c r="I3" s="4">
        <f>G3+H3</f>
        <v/>
      </c>
      <c r="J3" s="5">
        <f>I3/SUM($I$2:$I$4)</f>
        <v/>
      </c>
    </row>
    <row r="4">
      <c r="A4" t="inlineStr">
        <is>
          <t>Data-Science</t>
        </is>
      </c>
      <c r="B4" t="inlineStr">
        <is>
          <t>ForecastModel</t>
        </is>
      </c>
      <c r="C4" t="inlineStr">
        <is>
          <t>LLaMA-3</t>
        </is>
      </c>
      <c r="D4" s="4" t="n">
        <v>200</v>
      </c>
      <c r="E4" s="8" t="n">
        <v>500000</v>
      </c>
      <c r="F4" s="8" t="n">
        <v>150000</v>
      </c>
      <c r="G4" s="4" t="n">
        <v>10000</v>
      </c>
      <c r="H4" s="4" t="n">
        <v>1800</v>
      </c>
      <c r="I4" s="4">
        <f>G4+H4</f>
        <v/>
      </c>
      <c r="J4" s="5">
        <f>I4/SUM($I$2:$I$4)</f>
        <v/>
      </c>
    </row>
    <row r="5"/>
    <row r="6">
      <c r="A6" s="2" t="inlineStr">
        <is>
          <t>合计</t>
        </is>
      </c>
      <c r="I6" s="4">
        <f>SUM(I2:I4)</f>
        <v/>
      </c>
      <c r="J6" s="5">
        <f>SUM(J2:J4)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2026-07-07T21:10:19Z</dcterms:created>
  <dcterms:modified xsi:type="dcterms:W3CDTF">2026-07-07T21:10:19Z</dcterms:modified>
</cp:coreProperties>
</file>