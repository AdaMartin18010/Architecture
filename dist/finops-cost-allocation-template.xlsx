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-原始成本" sheetId="1" state="visible" r:id="rId1"/>
    <sheet name="L2-分摊规则" sheetId="2" state="visible" r:id="rId2"/>
    <sheet name="L3-分摊结果" sheetId="3" state="visible" r:id="rId3"/>
    <sheet name="L4-单位经济学" sheetId="4" state="visible" r:id="rId4"/>
    <sheet name="使用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0" customWidth="1" min="4" max="4"/>
    <col width="9" customWidth="1" min="5" max="5"/>
    <col width="16" customWidth="1" min="6" max="6"/>
  </cols>
  <sheetData>
    <row r="1">
      <c r="A1" s="1" t="inlineStr">
        <is>
          <t>ResourceID</t>
        </is>
      </c>
      <c r="B1" s="1" t="inlineStr">
        <is>
          <t>ServiceName</t>
        </is>
      </c>
      <c r="C1" s="1" t="inlineStr">
        <is>
          <t>Cost</t>
        </is>
      </c>
      <c r="D1" s="1" t="inlineStr">
        <is>
          <t>Tag:Team</t>
        </is>
      </c>
      <c r="E1" s="1" t="inlineStr">
        <is>
          <t>Tag:Env</t>
        </is>
      </c>
      <c r="F1" s="1" t="inlineStr">
        <is>
          <t>Tag:Project</t>
        </is>
      </c>
    </row>
    <row r="2">
      <c r="A2" t="inlineStr">
        <is>
          <t>i-0a1b2c3d4e5f</t>
        </is>
      </c>
      <c r="B2" t="inlineStr">
        <is>
          <t>EC2</t>
        </is>
      </c>
      <c r="C2" s="2" t="n">
        <v>5000</v>
      </c>
      <c r="D2" t="inlineStr">
        <is>
          <t>Platform</t>
        </is>
      </c>
      <c r="E2" t="inlineStr">
        <is>
          <t>prod</t>
        </is>
      </c>
      <c r="F2" t="inlineStr">
        <is>
          <t>SharedPlatform</t>
        </is>
      </c>
    </row>
    <row r="3">
      <c r="A3" t="inlineStr">
        <is>
          <t>rds-appa-001</t>
        </is>
      </c>
      <c r="B3" t="inlineStr">
        <is>
          <t>RDS</t>
        </is>
      </c>
      <c r="C3" s="2" t="n">
        <v>2400</v>
      </c>
      <c r="D3" t="inlineStr">
        <is>
          <t>AppA</t>
        </is>
      </c>
      <c r="E3" t="inlineStr">
        <is>
          <t>prod</t>
        </is>
      </c>
      <c r="F3" t="inlineStr">
        <is>
          <t>AppA-DB</t>
        </is>
      </c>
    </row>
    <row r="4">
      <c r="A4" t="inlineStr">
        <is>
          <t>rds-appb-001</t>
        </is>
      </c>
      <c r="B4" t="inlineStr">
        <is>
          <t>RDS</t>
        </is>
      </c>
      <c r="C4" s="2" t="n">
        <v>1800</v>
      </c>
      <c r="D4" t="inlineStr">
        <is>
          <t>AppB</t>
        </is>
      </c>
      <c r="E4" t="inlineStr">
        <is>
          <t>prod</t>
        </is>
      </c>
      <c r="F4" t="inlineStr">
        <is>
          <t>AppB-DB</t>
        </is>
      </c>
    </row>
    <row r="5">
      <c r="A5" t="inlineStr">
        <is>
          <t>eks-control</t>
        </is>
      </c>
      <c r="B5" t="inlineStr">
        <is>
          <t>EKS</t>
        </is>
      </c>
      <c r="C5" s="2" t="n">
        <v>800</v>
      </c>
      <c r="D5" t="inlineStr">
        <is>
          <t>Platform</t>
        </is>
      </c>
      <c r="E5" t="inlineStr">
        <is>
          <t>prod</t>
        </is>
      </c>
      <c r="F5" t="inlineStr">
        <is>
          <t>SharedPlatform</t>
        </is>
      </c>
    </row>
    <row r="6">
      <c r="A6" t="inlineStr">
        <is>
          <t>openai-inference</t>
        </is>
      </c>
      <c r="B6" t="inlineStr">
        <is>
          <t>AzureOpenAI</t>
        </is>
      </c>
      <c r="C6" s="2" t="n">
        <v>2400</v>
      </c>
      <c r="D6" t="inlineStr">
        <is>
          <t>AppA</t>
        </is>
      </c>
      <c r="E6" t="inlineStr">
        <is>
          <t>prod</t>
        </is>
      </c>
      <c r="F6" t="inlineStr">
        <is>
          <t>AppA-AI</t>
        </is>
      </c>
    </row>
    <row r="7">
      <c r="A7" t="inlineStr">
        <is>
          <t>s3-data-lake</t>
        </is>
      </c>
      <c r="B7" t="inlineStr">
        <is>
          <t>S3</t>
        </is>
      </c>
      <c r="C7" s="2" t="n">
        <v>600</v>
      </c>
      <c r="D7" t="inlineStr">
        <is>
          <t>Data</t>
        </is>
      </c>
      <c r="E7" t="inlineStr">
        <is>
          <t>prod</t>
        </is>
      </c>
      <c r="F7" t="inlineStr">
        <is>
          <t>DataLake</t>
        </is>
      </c>
    </row>
    <row r="8">
      <c r="A8" t="inlineStr">
        <is>
          <t>datadog-sub</t>
        </is>
      </c>
      <c r="B8" t="inlineStr">
        <is>
          <t>SaaS</t>
        </is>
      </c>
      <c r="C8" s="2" t="n">
        <v>1200</v>
      </c>
      <c r="D8" t="inlineStr">
        <is>
          <t>Platform</t>
        </is>
      </c>
      <c r="E8" t="inlineStr">
        <is>
          <t>prod</t>
        </is>
      </c>
      <c r="F8" t="inlineStr">
        <is>
          <t>Observability</t>
        </is>
      </c>
    </row>
    <row r="9">
      <c r="A9" t="inlineStr">
        <is>
          <t>lambda-appb</t>
        </is>
      </c>
      <c r="B9" t="inlineStr">
        <is>
          <t>Lambda</t>
        </is>
      </c>
      <c r="C9" s="2" t="n">
        <v>400</v>
      </c>
      <c r="D9" t="inlineStr">
        <is>
          <t>AppB</t>
        </is>
      </c>
      <c r="E9" t="inlineStr">
        <is>
          <t>prod</t>
        </is>
      </c>
      <c r="F9" t="inlineStr">
        <is>
          <t>AppB-API</t>
        </is>
      </c>
    </row>
    <row r="10">
      <c r="A10" t="inlineStr">
        <is>
          <t>cloudfront-cdn</t>
        </is>
      </c>
      <c r="B10" t="inlineStr">
        <is>
          <t>CloudFront</t>
        </is>
      </c>
      <c r="C10" s="2" t="n">
        <v>900</v>
      </c>
      <c r="D10" t="inlineStr">
        <is>
          <t>AppA</t>
        </is>
      </c>
      <c r="E10" t="inlineStr">
        <is>
          <t>prod</t>
        </is>
      </c>
      <c r="F10" t="inlineStr">
        <is>
          <t>AppA-Frontend</t>
        </is>
      </c>
    </row>
    <row r="11">
      <c r="A11" t="inlineStr">
        <is>
          <t>vpc-flow-logs</t>
        </is>
      </c>
      <c r="B11" t="inlineStr">
        <is>
          <t>VPC</t>
        </is>
      </c>
      <c r="C11" s="2" t="n">
        <v>300</v>
      </c>
      <c r="D11" t="inlineStr">
        <is>
          <t>Platform</t>
        </is>
      </c>
      <c r="E11" t="inlineStr">
        <is>
          <t>prod</t>
        </is>
      </c>
      <c r="F11" t="inlineStr">
        <is>
          <t>SharedPlatform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</cols>
  <sheetData>
    <row r="1">
      <c r="A1" s="1" t="inlineStr">
        <is>
          <t>Team</t>
        </is>
      </c>
      <c r="B1" s="1" t="inlineStr">
        <is>
          <t>AllocationKey%</t>
        </is>
      </c>
      <c r="C1" s="1" t="inlineStr">
        <is>
          <t>RuleDescription</t>
        </is>
      </c>
    </row>
    <row r="2">
      <c r="A2" t="inlineStr">
        <is>
          <t>AppA</t>
        </is>
      </c>
      <c r="B2" s="3" t="n">
        <v>0.35</v>
      </c>
      <c r="C2" t="inlineStr">
        <is>
          <t>按活跃应用数与收入贡献分摊共享平台成本</t>
        </is>
      </c>
    </row>
    <row r="3">
      <c r="A3" t="inlineStr">
        <is>
          <t>AppB</t>
        </is>
      </c>
      <c r="B3" s="3" t="n">
        <v>0.25</v>
      </c>
      <c r="C3" t="inlineStr">
        <is>
          <t>按活跃应用数分摊共享平台成本</t>
        </is>
      </c>
    </row>
    <row r="4">
      <c r="A4" t="inlineStr">
        <is>
          <t>Platform</t>
        </is>
      </c>
      <c r="B4" s="3" t="n">
        <v>0.25</v>
      </c>
      <c r="C4" t="inlineStr">
        <is>
          <t>平台团队承担基础设施与可观测性共享成本</t>
        </is>
      </c>
    </row>
    <row r="5">
      <c r="A5" t="inlineStr">
        <is>
          <t>Data</t>
        </is>
      </c>
      <c r="B5" s="3" t="n">
        <v>0.15</v>
      </c>
      <c r="C5" t="inlineStr">
        <is>
          <t>数据团队承担数据湖与存储共享成本</t>
        </is>
      </c>
    </row>
    <row r="6">
      <c r="A6" s="4" t="inlineStr">
        <is>
          <t>合计</t>
        </is>
      </c>
      <c r="B6" s="5">
        <f>SUM(B2:B5)</f>
        <v/>
      </c>
      <c r="C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15" customWidth="1" min="4" max="4"/>
    <col width="50" customWidth="1" min="5" max="5"/>
    <col width="50" customWidth="1" min="6" max="6"/>
  </cols>
  <sheetData>
    <row r="1">
      <c r="A1" s="1" t="inlineStr">
        <is>
          <t>Team</t>
        </is>
      </c>
      <c r="B1" s="1" t="inlineStr">
        <is>
          <t>DirectCost</t>
        </is>
      </c>
      <c r="C1" s="1" t="inlineStr">
        <is>
          <t>SharedCost</t>
        </is>
      </c>
      <c r="D1" s="1" t="inlineStr">
        <is>
          <t>AllocatedCost</t>
        </is>
      </c>
      <c r="E1" s="1" t="inlineStr">
        <is>
          <t>AllocationKey%</t>
        </is>
      </c>
      <c r="F1" s="1" t="inlineStr">
        <is>
          <t>RuleDescription</t>
        </is>
      </c>
    </row>
    <row r="2">
      <c r="A2" t="inlineStr">
        <is>
          <t>AppA</t>
        </is>
      </c>
      <c r="B2" s="2">
        <f>SUMIFS('L1-原始成本'!$C$2:$C$11,'L1-原始成本'!$D$2:$D$11,B2)</f>
        <v/>
      </c>
      <c r="C2" s="2">
        <f>SUMIFS('L1-原始成本'!$C$2:$C$11,'L1-原始成本'!$D$2:$D$11,"Platform")*E2</f>
        <v/>
      </c>
      <c r="D2" s="2">
        <f>B2+C2</f>
        <v/>
      </c>
      <c r="E2" s="3">
        <f>IFERROR(VLOOKUP(B2,'L2-分摊规则'!$A$2:$C$5,2,FALSE),0)</f>
        <v/>
      </c>
      <c r="F2">
        <f>IFERROR(VLOOKUP(B2,'L2-分摊规则'!$A$2:$C$5,3,FALSE),"")</f>
        <v/>
      </c>
    </row>
    <row r="3">
      <c r="A3" t="inlineStr">
        <is>
          <t>AppB</t>
        </is>
      </c>
      <c r="B3" s="2">
        <f>SUMIFS('L1-原始成本'!$C$2:$C$11,'L1-原始成本'!$D$2:$D$11,B3)</f>
        <v/>
      </c>
      <c r="C3" s="2">
        <f>SUMIFS('L1-原始成本'!$C$2:$C$11,'L1-原始成本'!$D$2:$D$11,"Platform")*E3</f>
        <v/>
      </c>
      <c r="D3" s="2">
        <f>B3+C3</f>
        <v/>
      </c>
      <c r="E3" s="3">
        <f>IFERROR(VLOOKUP(B3,'L2-分摊规则'!$A$2:$C$5,2,FALSE),0)</f>
        <v/>
      </c>
      <c r="F3">
        <f>IFERROR(VLOOKUP(B3,'L2-分摊规则'!$A$2:$C$5,3,FALSE),"")</f>
        <v/>
      </c>
    </row>
    <row r="4">
      <c r="A4" t="inlineStr">
        <is>
          <t>Platform</t>
        </is>
      </c>
      <c r="B4" s="2">
        <f>SUMIFS('L1-原始成本'!$C$2:$C$11,'L1-原始成本'!$D$2:$D$11,B4)</f>
        <v/>
      </c>
      <c r="C4" s="2">
        <f>SUMIFS('L1-原始成本'!$C$2:$C$11,'L1-原始成本'!$D$2:$D$11,"Platform")*E4</f>
        <v/>
      </c>
      <c r="D4" s="2">
        <f>B4+C4</f>
        <v/>
      </c>
      <c r="E4" s="3">
        <f>IFERROR(VLOOKUP(B4,'L2-分摊规则'!$A$2:$C$5,2,FALSE),0)</f>
        <v/>
      </c>
      <c r="F4">
        <f>IFERROR(VLOOKUP(B4,'L2-分摊规则'!$A$2:$C$5,3,FALSE),"")</f>
        <v/>
      </c>
    </row>
    <row r="5">
      <c r="A5" t="inlineStr">
        <is>
          <t>Data</t>
        </is>
      </c>
      <c r="B5" s="2">
        <f>SUMIFS('L1-原始成本'!$C$2:$C$11,'L1-原始成本'!$D$2:$D$11,B5)</f>
        <v/>
      </c>
      <c r="C5" s="2">
        <f>SUMIFS('L1-原始成本'!$C$2:$C$11,'L1-原始成本'!$D$2:$D$11,"Platform")*E5</f>
        <v/>
      </c>
      <c r="D5" s="2">
        <f>B5+C5</f>
        <v/>
      </c>
      <c r="E5" s="3">
        <f>IFERROR(VLOOKUP(B5,'L2-分摊规则'!$A$2:$C$5,2,FALSE),0)</f>
        <v/>
      </c>
      <c r="F5">
        <f>IFERROR(VLOOKUP(B5,'L2-分摊规则'!$A$2:$C$5,3,FALSE),"")</f>
        <v/>
      </c>
    </row>
    <row r="6">
      <c r="A6" s="4" t="inlineStr">
        <is>
          <t>合计</t>
        </is>
      </c>
      <c r="B6" s="6">
        <f>SUM(B2:B5)</f>
        <v/>
      </c>
      <c r="C6" s="6">
        <f>SUM(C2:C5)</f>
        <v/>
      </c>
      <c r="D6" s="6">
        <f>SUM(D2:D5)</f>
        <v/>
      </c>
      <c r="E6" s="5">
        <f>SUM(E2:E5)</f>
        <v/>
      </c>
      <c r="F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2" customWidth="1" min="3" max="3"/>
    <col width="13" customWidth="1" min="4" max="4"/>
    <col width="42" customWidth="1" min="5" max="5"/>
  </cols>
  <sheetData>
    <row r="1">
      <c r="A1" s="1" t="inlineStr">
        <is>
          <t>Metric</t>
        </is>
      </c>
      <c r="B1" s="1" t="inlineStr">
        <is>
          <t>TotalCost</t>
        </is>
      </c>
      <c r="C1" s="1" t="inlineStr">
        <is>
          <t>UnitVolume</t>
        </is>
      </c>
      <c r="D1" s="1" t="inlineStr">
        <is>
          <t>CostPerUnit</t>
        </is>
      </c>
      <c r="E1" s="1" t="inlineStr">
        <is>
          <t>Notes</t>
        </is>
      </c>
    </row>
    <row r="2">
      <c r="A2" t="inlineStr">
        <is>
          <t>CostPerUser</t>
        </is>
      </c>
      <c r="B2" s="2" t="n">
        <v>12000</v>
      </c>
      <c r="C2" s="7" t="n">
        <v>571429</v>
      </c>
      <c r="D2" s="8">
        <f>B2/C2</f>
        <v/>
      </c>
      <c r="E2" t="inlineStr">
        <is>
          <t>Total Cloud COGS / MAU</t>
        </is>
      </c>
    </row>
    <row r="3">
      <c r="A3" t="inlineStr">
        <is>
          <t>CostPerTransaction</t>
        </is>
      </c>
      <c r="B3" s="2" t="n">
        <v>3500</v>
      </c>
      <c r="C3" s="7" t="n">
        <v>2500000</v>
      </c>
      <c r="D3" s="8">
        <f>B3/C3</f>
        <v/>
      </c>
      <c r="E3" t="inlineStr">
        <is>
          <t>Transaction-related cost / transactions</t>
        </is>
      </c>
    </row>
    <row r="4">
      <c r="A4" t="inlineStr">
        <is>
          <t>CostPer1KInputTokens</t>
        </is>
      </c>
      <c r="B4" s="2" t="n">
        <v>7200</v>
      </c>
      <c r="C4" s="7" t="n">
        <v>120000</v>
      </c>
      <c r="D4" s="8">
        <f>B4/C4</f>
        <v/>
      </c>
      <c r="E4" t="inlineStr">
        <is>
          <t>LLM input cost / (input tokens / 1000)</t>
        </is>
      </c>
    </row>
    <row r="5">
      <c r="A5" t="inlineStr">
        <is>
          <t>CostPer1KOutputTokens</t>
        </is>
      </c>
      <c r="B5" s="2" t="n">
        <v>10800</v>
      </c>
      <c r="C5" s="7" t="n">
        <v>30000</v>
      </c>
      <c r="D5" s="8">
        <f>B5/C5</f>
        <v/>
      </c>
      <c r="E5" t="inlineStr">
        <is>
          <t>LLM output cost / (output tokens / 1000)</t>
        </is>
      </c>
    </row>
    <row r="6">
      <c r="A6" t="inlineStr">
        <is>
          <t>CostPerRequest</t>
        </is>
      </c>
      <c r="B6" s="2" t="n">
        <v>50000</v>
      </c>
      <c r="C6" s="7" t="n">
        <v>2000000</v>
      </c>
      <c r="D6" s="8">
        <f>B6/C6</f>
        <v/>
      </c>
      <c r="E6" t="inlineStr">
        <is>
          <t>AI total cost / total requests</t>
        </is>
      </c>
    </row>
    <row r="7">
      <c r="A7" s="4" t="inlineStr">
        <is>
          <t>TotalCloudCOGS</t>
        </is>
      </c>
      <c r="B7" s="6">
        <f>'L3-分摊结果'!D6</f>
        <v/>
      </c>
      <c r="C7" s="4" t="n"/>
      <c r="D7" s="4" t="n"/>
      <c r="E7" s="4" t="inlineStr">
        <is>
          <t>从 L3 分摊结果合计引用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9" t="inlineStr">
        <is>
          <t>FinOps L1–L4 成本分摊 Excel 公式模板</t>
        </is>
      </c>
      <c r="B1" t="inlineStr"/>
    </row>
    <row r="2">
      <c r="A2" t="inlineStr"/>
      <c r="B2" t="inlineStr"/>
    </row>
    <row r="3">
      <c r="A3" s="4" t="inlineStr">
        <is>
          <t>工作表</t>
        </is>
      </c>
      <c r="B3" s="4" t="inlineStr">
        <is>
          <t>说明</t>
        </is>
      </c>
    </row>
    <row r="4">
      <c r="A4" t="inlineStr">
        <is>
          <t>L1-原始成本</t>
        </is>
      </c>
      <c r="B4" t="inlineStr">
        <is>
          <t>填写或粘贴云服务原始账单；Tag:Team 用于直接归属。</t>
        </is>
      </c>
    </row>
    <row r="5">
      <c r="A5" t="inlineStr">
        <is>
          <t>L2-分摊规则</t>
        </is>
      </c>
      <c r="B5" t="inlineStr">
        <is>
          <t>维护 Team 的分摊键，合计应等于 100%。</t>
        </is>
      </c>
    </row>
    <row r="6">
      <c r="A6" t="inlineStr">
        <is>
          <t>L3-分摊结果</t>
        </is>
      </c>
      <c r="B6" t="inlineStr">
        <is>
          <t>自动按 SUMIFS 汇总直接成本，并按 L2 比例拆分共享成本。</t>
        </is>
      </c>
    </row>
    <row r="7">
      <c r="A7" t="inlineStr">
        <is>
          <t>L4-单位经济学</t>
        </is>
      </c>
      <c r="B7" t="inlineStr">
        <is>
          <t>基于 L3 的 TotalCloudCOGS 或独立成本池计算单位成本。</t>
        </is>
      </c>
    </row>
    <row r="8">
      <c r="A8" t="inlineStr"/>
      <c r="B8" t="inlineStr"/>
    </row>
    <row r="9">
      <c r="A9" t="inlineStr">
        <is>
          <t>使用提示</t>
        </is>
      </c>
      <c r="B9" t="inlineStr"/>
    </row>
    <row r="10">
      <c r="A10" t="inlineStr">
        <is>
          <t>1</t>
        </is>
      </c>
      <c r="B10" t="inlineStr">
        <is>
          <t>将 L1 替换为贵组织的真实云账单（保持列结构一致）。</t>
        </is>
      </c>
    </row>
    <row r="11">
      <c r="A11" t="inlineStr">
        <is>
          <t>2</t>
        </is>
      </c>
      <c r="B11" t="inlineStr">
        <is>
          <t>在 L2 中调整 AllocationKey%，确保团队比例符合 FinOps 分摊策略。</t>
        </is>
      </c>
    </row>
    <row r="12">
      <c r="A12" t="inlineStr">
        <is>
          <t>3</t>
        </is>
      </c>
      <c r="B12" t="inlineStr">
        <is>
          <t>L3 中的公式会自动重新计算；如需更复杂的共享池逻辑，可拆分 Platform/Data 等共享项。</t>
        </is>
      </c>
    </row>
    <row r="13">
      <c r="A13" t="inlineStr">
        <is>
          <t>4</t>
        </is>
      </c>
      <c r="B13" t="inlineStr">
        <is>
          <t>L4 中的单位经济学公式可按业务指标（MAU、交易数、Token 数）自行扩展。</t>
        </is>
      </c>
    </row>
    <row r="14">
      <c r="A14" t="inlineStr"/>
      <c r="B14" t="inlineStr"/>
    </row>
    <row r="15">
      <c r="A15" t="inlineStr">
        <is>
          <t>对齐来源</t>
        </is>
      </c>
      <c r="B15" t="inlineStr"/>
    </row>
    <row r="16">
      <c r="A16" t="inlineStr">
        <is>
          <t>FinOps Foundation Framework 2026</t>
        </is>
      </c>
      <c r="B16" t="inlineStr"/>
    </row>
    <row r="17">
      <c r="A17" t="inlineStr">
        <is>
          <t>FOCUS (FinOps Open Cost and Usage Specification)</t>
        </is>
      </c>
      <c r="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2026-07-07T20:33:58Z</dcterms:created>
  <dcterms:modified xsi:type="dcterms:W3CDTF">2026-07-07T20:33:58Z</dcterms:modified>
</cp:coreProperties>
</file>